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imation &amp; Cost" sheetId="1" r:id="rId1"/>
    <sheet name="PERT Reference" sheetId="2" r:id="rId2"/>
  </sheets>
  <calcPr calcId="124519" fullCalcOnLoad="1"/>
</workbook>
</file>

<file path=xl/sharedStrings.xml><?xml version="1.0" encoding="utf-8"?>
<sst xmlns="http://schemas.openxmlformats.org/spreadsheetml/2006/main" count="98" uniqueCount="80">
  <si>
    <t>PartnerAPI – Public API Programme for a Travel Booking Company</t>
  </si>
  <si>
    <t>Estimation &amp; Cost Analysis</t>
  </si>
  <si>
    <t>A. Project &amp; Cost Assumptions</t>
  </si>
  <si>
    <t>Working days per week</t>
  </si>
  <si>
    <t>Launch target (weeks)</t>
  </si>
  <si>
    <t>Working hours per day</t>
  </si>
  <si>
    <t>Assumed blended engineering rate</t>
  </si>
  <si>
    <t>per hour</t>
  </si>
  <si>
    <t>B. PERT Three-Point Estimation</t>
  </si>
  <si>
    <t>Activity</t>
  </si>
  <si>
    <t>Optimistic (O)</t>
  </si>
  <si>
    <t>Most Likely (M)</t>
  </si>
  <si>
    <t>Pessimistic (P)</t>
  </si>
  <si>
    <t>PERT Expected Time (TE)</t>
  </si>
  <si>
    <t>Hours</t>
  </si>
  <si>
    <t>Estimated Cost</t>
  </si>
  <si>
    <t>Scope</t>
  </si>
  <si>
    <t>API Design</t>
  </si>
  <si>
    <t>Baseline</t>
  </si>
  <si>
    <t>Booking Endpoints</t>
  </si>
  <si>
    <t>Sandbox</t>
  </si>
  <si>
    <t>Documentation</t>
  </si>
  <si>
    <t>Partner Onboarding</t>
  </si>
  <si>
    <t>Baseline Total</t>
  </si>
  <si>
    <t>C. VERIFIED NUMERIC RESULTS</t>
  </si>
  <si>
    <t>Baseline Duration (weeks)</t>
  </si>
  <si>
    <t>Target (weeks)</t>
  </si>
  <si>
    <t>Schedule Margin (weeks)</t>
  </si>
  <si>
    <t>D. Baseline Schedule Check</t>
  </si>
  <si>
    <t>Baseline effort (days)</t>
  </si>
  <si>
    <t>Baseline duration (weeks)</t>
  </si>
  <si>
    <t>Target (days)</t>
  </si>
  <si>
    <t>Margin (days)</t>
  </si>
  <si>
    <t>Margin (weeks)</t>
  </si>
  <si>
    <t>Status</t>
  </si>
  <si>
    <t>E. Custom Request Impact</t>
  </si>
  <si>
    <t>Item</t>
  </si>
  <si>
    <t>Days</t>
  </si>
  <si>
    <t>Cost</t>
  </si>
  <si>
    <t>Custom Request 1</t>
  </si>
  <si>
    <t>Custom Request 2</t>
  </si>
  <si>
    <t>Combined</t>
  </si>
  <si>
    <t>F. Full Scope Impact</t>
  </si>
  <si>
    <t>Custom requests</t>
  </si>
  <si>
    <t>Full scope (days)</t>
  </si>
  <si>
    <t>Full scope duration (weeks)</t>
  </si>
  <si>
    <t>Delay (weeks)</t>
  </si>
  <si>
    <t>G. Commercial Cost Summary</t>
  </si>
  <si>
    <t>Baseline development cost</t>
  </si>
  <si>
    <t>Custom-request cost</t>
  </si>
  <si>
    <t>Full-scope development cost</t>
  </si>
  <si>
    <t>Illustrative GST – baseline (18%)</t>
  </si>
  <si>
    <t>Illustrative baseline total incl. GST</t>
  </si>
  <si>
    <t>Illustrative GST – full scope (18%)</t>
  </si>
  <si>
    <t>Illustrative full-scope total incl. GST</t>
  </si>
  <si>
    <t>* Illustrative only – actual tax treatment must be confirmed.</t>
  </si>
  <si>
    <t>H. Cost by Activity</t>
  </si>
  <si>
    <t>9. Assumptions / Notes</t>
  </si>
  <si>
    <t>- PERT estimates are planning estimates.</t>
  </si>
  <si>
    <t>- They are not delivery guarantees.</t>
  </si>
  <si>
    <t>- The O/M/P values are taken directly from the project brief.</t>
  </si>
  <si>
    <t>- 5 working days = 1 working week.</t>
  </si>
  <si>
    <t>- 8 hours/day is assumed for cost conversion.</t>
  </si>
  <si>
    <t>- ₹2,000/hour is an assumed blended engineering rate.</t>
  </si>
  <si>
    <t>- Custom requests are additional scope.</t>
  </si>
  <si>
    <t>- Custom requests should preferably be handled through formal change control / Phase 2.</t>
  </si>
  <si>
    <t>- Real commercial pricing would also consider: cloud infrastructure, API gateway, monitoring, hotel inventory/provider fees, security testing, production support, maintenance, and applicable taxes.</t>
  </si>
  <si>
    <t>PERT Reference</t>
  </si>
  <si>
    <t>O</t>
  </si>
  <si>
    <t>Optimistic</t>
  </si>
  <si>
    <t>M</t>
  </si>
  <si>
    <t>Most Likely</t>
  </si>
  <si>
    <t>P</t>
  </si>
  <si>
    <t>Pessimistic</t>
  </si>
  <si>
    <t>TE</t>
  </si>
  <si>
    <t>Expected Time</t>
  </si>
  <si>
    <t>Formula:</t>
  </si>
  <si>
    <t>TE = (O + 4M + P) / 6</t>
  </si>
  <si>
    <t>API Design Example:</t>
  </si>
  <si>
    <t>(4 + 4*6 + 10) / 6 = 6.33 days</t>
  </si>
</sst>
</file>

<file path=xl/styles.xml><?xml version="1.0" encoding="utf-8"?>
<styleSheet xmlns="http://schemas.openxmlformats.org/spreadsheetml/2006/main">
  <numFmts count="2">
    <numFmt numFmtId="164" formatCode="[$₹-409]#,##0.00"/>
    <numFmt numFmtId="165" formatCode="0.00"/>
  </numFmts>
  <fonts count="8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3" fillId="4" borderId="1" xfId="0" applyFont="1" applyFill="1" applyBorder="1"/>
    <xf numFmtId="165" fontId="0" fillId="0" borderId="1" xfId="0" applyNumberFormat="1" applyBorder="1"/>
    <xf numFmtId="0" fontId="4" fillId="0" borderId="1" xfId="0" applyFont="1" applyBorder="1"/>
    <xf numFmtId="165" fontId="4" fillId="0" borderId="1" xfId="0" applyNumberFormat="1" applyFont="1" applyBorder="1"/>
    <xf numFmtId="164" fontId="4" fillId="0" borderId="1" xfId="0" applyNumberFormat="1" applyFont="1" applyBorder="1"/>
    <xf numFmtId="0" fontId="5" fillId="5" borderId="1" xfId="0" applyFont="1" applyFill="1" applyBorder="1"/>
    <xf numFmtId="165" fontId="6" fillId="6" borderId="1" xfId="0" applyNumberFormat="1" applyFont="1" applyFill="1" applyBorder="1"/>
    <xf numFmtId="164" fontId="6" fillId="6" borderId="1" xfId="0" applyNumberFormat="1" applyFont="1" applyFill="1" applyBorder="1"/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PERT Expected Time by Activity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PERT Expected Time (days)</c:v>
          </c:tx>
          <c:dLbls>
            <c:numFmt formatCode="0.00" sourceLinked="0"/>
            <c:showVal val="1"/>
          </c:dLbls>
          <c:cat>
            <c:strRef>
              <c:f>'Estimation &amp; Cost'!$A$12:$A$16</c:f>
              <c:strCache>
                <c:ptCount val="5"/>
                <c:pt idx="0">
                  <c:v>API Design</c:v>
                </c:pt>
                <c:pt idx="1">
                  <c:v>Booking Endpoints</c:v>
                </c:pt>
                <c:pt idx="2">
                  <c:v>Sandbox</c:v>
                </c:pt>
                <c:pt idx="3">
                  <c:v>Documentation</c:v>
                </c:pt>
                <c:pt idx="4">
                  <c:v>Partner Onboarding</c:v>
                </c:pt>
              </c:strCache>
            </c:strRef>
          </c:cat>
          <c:val>
            <c:numRef>
              <c:f>'Estimation &amp; Cost'!$E$12:$E$16</c:f>
              <c:numCache>
                <c:formatCode>General</c:formatCode>
                <c:ptCount val="5"/>
                <c:pt idx="0">
                  <c:v>6.333333333333333</c:v>
                </c:pt>
                <c:pt idx="1">
                  <c:v>15.0</c:v>
                </c:pt>
                <c:pt idx="2">
                  <c:v>6.666666666666667</c:v>
                </c:pt>
                <c:pt idx="3">
                  <c:v>5.166666666666667</c:v>
                </c:pt>
                <c:pt idx="4">
                  <c:v>8.666666666666666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0</xdr:rowOff>
    </xdr:from>
    <xdr:to>
      <xdr:col>20</xdr:col>
      <xdr:colOff>152400</xdr:colOff>
      <xdr:row>30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5.7109375" customWidth="1"/>
    <col min="2" max="4" width="18.7109375" customWidth="1"/>
    <col min="5" max="8" width="22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4" spans="1:8">
      <c r="A4" s="2" t="s">
        <v>2</v>
      </c>
    </row>
    <row r="5" spans="1:8">
      <c r="A5" s="3" t="s">
        <v>3</v>
      </c>
      <c r="B5" s="3">
        <v>5</v>
      </c>
    </row>
    <row r="6" spans="1:8">
      <c r="A6" s="3" t="s">
        <v>4</v>
      </c>
      <c r="B6" s="3">
        <v>10</v>
      </c>
    </row>
    <row r="7" spans="1:8">
      <c r="A7" s="3" t="s">
        <v>5</v>
      </c>
      <c r="B7" s="3">
        <v>8</v>
      </c>
    </row>
    <row r="8" spans="1:8">
      <c r="A8" s="3" t="s">
        <v>6</v>
      </c>
      <c r="B8" s="4">
        <v>2000</v>
      </c>
      <c r="C8" t="s">
        <v>7</v>
      </c>
    </row>
    <row r="10" spans="1:8">
      <c r="A10" s="2" t="s">
        <v>8</v>
      </c>
    </row>
    <row r="11" spans="1:8">
      <c r="A11" s="5" t="s">
        <v>9</v>
      </c>
      <c r="B11" s="5" t="s">
        <v>10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15</v>
      </c>
      <c r="H11" s="5" t="s">
        <v>16</v>
      </c>
    </row>
    <row r="12" spans="1:8">
      <c r="A12" s="3" t="s">
        <v>17</v>
      </c>
      <c r="B12" s="3">
        <v>4</v>
      </c>
      <c r="C12" s="3">
        <v>6</v>
      </c>
      <c r="D12" s="3">
        <v>10</v>
      </c>
      <c r="E12" s="6">
        <f>(B12+4*C12+D12)/6</f>
        <v>6.333333333333333</v>
      </c>
      <c r="F12" s="6">
        <f>E12*$B$7</f>
        <v>0</v>
      </c>
      <c r="G12" s="4">
        <f>F12*$B$8</f>
        <v>0</v>
      </c>
      <c r="H12" s="3" t="s">
        <v>18</v>
      </c>
    </row>
    <row r="13" spans="1:8">
      <c r="A13" s="3" t="s">
        <v>19</v>
      </c>
      <c r="B13" s="3">
        <v>10</v>
      </c>
      <c r="C13" s="3">
        <v>14</v>
      </c>
      <c r="D13" s="3">
        <v>24</v>
      </c>
      <c r="E13" s="6">
        <f>(B13+4*C13+D13)/6</f>
        <v>15.0</v>
      </c>
      <c r="F13" s="6">
        <f>E13*$B$7</f>
        <v>0</v>
      </c>
      <c r="G13" s="4">
        <f>F13*$B$8</f>
        <v>0</v>
      </c>
      <c r="H13" s="3" t="s">
        <v>18</v>
      </c>
    </row>
    <row r="14" spans="1:8">
      <c r="A14" s="3" t="s">
        <v>20</v>
      </c>
      <c r="B14" s="3">
        <v>4</v>
      </c>
      <c r="C14" s="3">
        <v>6</v>
      </c>
      <c r="D14" s="3">
        <v>12</v>
      </c>
      <c r="E14" s="6">
        <f>(B14+4*C14+D14)/6</f>
        <v>6.666666666666667</v>
      </c>
      <c r="F14" s="6">
        <f>E14*$B$7</f>
        <v>0</v>
      </c>
      <c r="G14" s="4">
        <f>F14*$B$8</f>
        <v>0</v>
      </c>
      <c r="H14" s="3" t="s">
        <v>18</v>
      </c>
    </row>
    <row r="15" spans="1:8">
      <c r="A15" s="3" t="s">
        <v>21</v>
      </c>
      <c r="B15" s="3">
        <v>3</v>
      </c>
      <c r="C15" s="3">
        <v>5</v>
      </c>
      <c r="D15" s="3">
        <v>8</v>
      </c>
      <c r="E15" s="6">
        <f>(B15+4*C15+D15)/6</f>
        <v>5.166666666666667</v>
      </c>
      <c r="F15" s="6">
        <f>E15*$B$7</f>
        <v>0</v>
      </c>
      <c r="G15" s="4">
        <f>F15*$B$8</f>
        <v>0</v>
      </c>
      <c r="H15" s="3" t="s">
        <v>18</v>
      </c>
    </row>
    <row r="16" spans="1:8">
      <c r="A16" s="3" t="s">
        <v>22</v>
      </c>
      <c r="B16" s="3">
        <v>5</v>
      </c>
      <c r="C16" s="3">
        <v>8</v>
      </c>
      <c r="D16" s="3">
        <v>15</v>
      </c>
      <c r="E16" s="6">
        <f>(B16+4*C16+D16)/6</f>
        <v>8.666666666666666</v>
      </c>
      <c r="F16" s="6">
        <f>E16*$B$7</f>
        <v>0</v>
      </c>
      <c r="G16" s="4">
        <f>F16*$B$8</f>
        <v>0</v>
      </c>
      <c r="H16" s="3" t="s">
        <v>18</v>
      </c>
    </row>
    <row r="17" spans="1:7">
      <c r="A17" s="7" t="s">
        <v>23</v>
      </c>
      <c r="E17" s="8">
        <f>SUM(E12:E16)</f>
        <v>41.84</v>
      </c>
      <c r="F17" s="8">
        <f>SUM(F12:F16)</f>
        <v>334.72</v>
      </c>
      <c r="G17" s="9">
        <f>SUM(G12:G16)</f>
        <v>669440.0</v>
      </c>
    </row>
    <row r="19" spans="1:7">
      <c r="A19" s="2" t="s">
        <v>24</v>
      </c>
    </row>
    <row r="20" spans="1:7">
      <c r="A20" s="3" t="s">
        <v>17</v>
      </c>
      <c r="B20" s="6">
        <f>E12</f>
        <v>6.33</v>
      </c>
    </row>
    <row r="21" spans="1:7">
      <c r="A21" s="3" t="s">
        <v>19</v>
      </c>
      <c r="B21" s="6">
        <f>E13</f>
        <v>15.0</v>
      </c>
    </row>
    <row r="22" spans="1:7">
      <c r="A22" s="3" t="s">
        <v>20</v>
      </c>
      <c r="B22" s="6">
        <f>E14</f>
        <v>6.67</v>
      </c>
    </row>
    <row r="23" spans="1:7">
      <c r="A23" s="3" t="s">
        <v>21</v>
      </c>
      <c r="B23" s="6">
        <f>E15</f>
        <v>5.17</v>
      </c>
    </row>
    <row r="24" spans="1:7">
      <c r="A24" s="3" t="s">
        <v>22</v>
      </c>
      <c r="B24" s="6">
        <f>E16</f>
        <v>8.67</v>
      </c>
    </row>
    <row r="26" spans="1:7">
      <c r="A26" s="7" t="s">
        <v>23</v>
      </c>
      <c r="B26" s="8">
        <f>E17</f>
        <v>41.84</v>
      </c>
    </row>
    <row r="27" spans="1:7">
      <c r="A27" s="7" t="s">
        <v>25</v>
      </c>
      <c r="B27" s="8">
        <f>E17/B5</f>
        <v>8.37</v>
      </c>
    </row>
    <row r="28" spans="1:7">
      <c r="A28" s="7" t="s">
        <v>26</v>
      </c>
      <c r="B28" s="8">
        <f>B6</f>
        <v>10.0</v>
      </c>
    </row>
    <row r="29" spans="1:7">
      <c r="A29" s="7" t="s">
        <v>27</v>
      </c>
      <c r="B29" s="8">
        <f>B6-(E17/B5)</f>
        <v>1.63</v>
      </c>
    </row>
    <row r="31" spans="1:7">
      <c r="A31" s="2" t="s">
        <v>28</v>
      </c>
    </row>
    <row r="32" spans="1:7">
      <c r="A32" s="3" t="s">
        <v>29</v>
      </c>
      <c r="B32" s="6">
        <f>E17</f>
        <v>41.84</v>
      </c>
    </row>
    <row r="33" spans="1:4">
      <c r="A33" s="3" t="s">
        <v>30</v>
      </c>
      <c r="B33" s="6">
        <f>E17/B5</f>
        <v>8.37</v>
      </c>
    </row>
    <row r="34" spans="1:4">
      <c r="A34" s="3" t="s">
        <v>26</v>
      </c>
      <c r="B34" s="6">
        <f>B6</f>
        <v>10.0</v>
      </c>
    </row>
    <row r="35" spans="1:4">
      <c r="A35" s="3" t="s">
        <v>31</v>
      </c>
      <c r="B35" s="6">
        <f>B6*B5</f>
        <v>50.0</v>
      </c>
    </row>
    <row r="36" spans="1:4">
      <c r="A36" s="3" t="s">
        <v>32</v>
      </c>
      <c r="B36" s="6">
        <f>(B6*B5)-E17</f>
        <v>8.16</v>
      </c>
    </row>
    <row r="37" spans="1:4">
      <c r="A37" s="3" t="s">
        <v>33</v>
      </c>
      <c r="B37" s="6">
        <f>((B6*B5)-E17)/B5</f>
        <v>1.63</v>
      </c>
    </row>
    <row r="38" spans="1:4">
      <c r="A38" s="7" t="s">
        <v>34</v>
      </c>
      <c r="B38" s="10" t="str">
        <f>IF(((B6*B5)-E17)&gt;=0, "FITS WITHIN 10-WEEK TARGET", "EXCEEDS TARGET")</f>
        <v>FITS WITHIN 10-WEEK TARGET</v>
      </c>
    </row>
    <row r="40" spans="1:4">
      <c r="A40" s="2" t="s">
        <v>35</v>
      </c>
    </row>
    <row r="41" spans="1:4">
      <c r="A41" s="5" t="s">
        <v>36</v>
      </c>
      <c r="B41" s="5" t="s">
        <v>37</v>
      </c>
      <c r="C41" s="5" t="s">
        <v>14</v>
      </c>
      <c r="D41" s="5" t="s">
        <v>38</v>
      </c>
    </row>
    <row r="42" spans="1:4">
      <c r="A42" s="3" t="s">
        <v>39</v>
      </c>
      <c r="B42" s="3">
        <v>12</v>
      </c>
      <c r="C42" s="6">
        <f>B42*$B$7</f>
        <v>96.0</v>
      </c>
      <c r="D42" s="4">
        <f>C42*$B$8</f>
        <v>192000.0</v>
      </c>
    </row>
    <row r="43" spans="1:4">
      <c r="A43" s="3" t="s">
        <v>40</v>
      </c>
      <c r="B43" s="3">
        <v>18</v>
      </c>
      <c r="C43" s="6">
        <f>B43*$B$7</f>
        <v>144.0</v>
      </c>
      <c r="D43" s="4">
        <f>C43*$B$8</f>
        <v>288000.0</v>
      </c>
    </row>
    <row r="44" spans="1:4">
      <c r="A44" s="11" t="s">
        <v>41</v>
      </c>
      <c r="B44" s="11">
        <f>SUM(B42:B43)</f>
        <v>30.0</v>
      </c>
      <c r="C44" s="11">
        <f>SUM(C42:C43)</f>
        <v>240.0</v>
      </c>
      <c r="D44" s="12">
        <f>SUM(D42:D43)</f>
        <v>480000.0</v>
      </c>
    </row>
    <row r="46" spans="1:4">
      <c r="A46" s="2" t="s">
        <v>42</v>
      </c>
    </row>
    <row r="47" spans="1:4">
      <c r="A47" s="3" t="s">
        <v>18</v>
      </c>
      <c r="B47" s="6">
        <f>E17</f>
        <v>41.84</v>
      </c>
    </row>
    <row r="48" spans="1:4">
      <c r="A48" s="3" t="s">
        <v>43</v>
      </c>
      <c r="B48" s="6">
        <f>B44</f>
        <v>30.0</v>
      </c>
    </row>
    <row r="49" spans="1:3">
      <c r="A49" s="7" t="s">
        <v>44</v>
      </c>
      <c r="B49" s="8">
        <f>B47+B48</f>
        <v>71.84</v>
      </c>
    </row>
    <row r="50" spans="1:3">
      <c r="A50" s="7" t="s">
        <v>45</v>
      </c>
      <c r="B50" s="8">
        <f>B49/B5</f>
        <v>14.37</v>
      </c>
    </row>
    <row r="51" spans="1:3">
      <c r="A51" s="7" t="s">
        <v>46</v>
      </c>
      <c r="B51" s="11">
        <f>B50-B6</f>
        <v>4.37</v>
      </c>
    </row>
    <row r="53" spans="1:3">
      <c r="A53" s="2" t="s">
        <v>47</v>
      </c>
    </row>
    <row r="54" spans="1:3">
      <c r="A54" s="3" t="s">
        <v>48</v>
      </c>
      <c r="B54" s="4">
        <f>G17</f>
        <v>669440.0</v>
      </c>
    </row>
    <row r="55" spans="1:3">
      <c r="A55" s="3" t="s">
        <v>49</v>
      </c>
      <c r="B55" s="4">
        <f>D47</f>
        <v>480000.0</v>
      </c>
    </row>
    <row r="56" spans="1:3">
      <c r="A56" s="7" t="s">
        <v>50</v>
      </c>
      <c r="B56" s="9">
        <f>B54+B55</f>
        <v>1149440.0</v>
      </c>
    </row>
    <row r="57" spans="1:3">
      <c r="A57" s="3" t="s">
        <v>51</v>
      </c>
      <c r="B57" s="4">
        <f>B54*0.18</f>
        <v>120499.2</v>
      </c>
    </row>
    <row r="58" spans="1:3">
      <c r="A58" s="7" t="s">
        <v>52</v>
      </c>
      <c r="B58" s="9">
        <f>B54+B57</f>
        <v>789939.2</v>
      </c>
    </row>
    <row r="59" spans="1:3">
      <c r="A59" s="3" t="s">
        <v>53</v>
      </c>
      <c r="B59" s="4">
        <f>B56*0.18</f>
        <v>206899.2</v>
      </c>
    </row>
    <row r="60" spans="1:3">
      <c r="A60" s="7" t="s">
        <v>54</v>
      </c>
      <c r="B60" s="9">
        <f>B56+B59</f>
        <v>1356339.2</v>
      </c>
    </row>
    <row r="61" spans="1:3">
      <c r="A61" s="13" t="s">
        <v>55</v>
      </c>
    </row>
    <row r="63" spans="1:3">
      <c r="A63" s="2" t="s">
        <v>56</v>
      </c>
    </row>
    <row r="64" spans="1:3">
      <c r="A64" s="3" t="s">
        <v>17</v>
      </c>
      <c r="B64" s="6">
        <f>E12*8</f>
        <v>50.64</v>
      </c>
      <c r="C64" s="4">
        <f>B64*2000</f>
        <v>101280.0</v>
      </c>
    </row>
    <row r="65" spans="1:3">
      <c r="A65" s="3" t="s">
        <v>19</v>
      </c>
      <c r="B65" s="6">
        <f>E13*8</f>
        <v>120.0</v>
      </c>
      <c r="C65" s="4">
        <f>B65*2000</f>
        <v>240000.0</v>
      </c>
    </row>
    <row r="66" spans="1:3">
      <c r="A66" s="3" t="s">
        <v>20</v>
      </c>
      <c r="B66" s="6">
        <f>E14*8</f>
        <v>53.36</v>
      </c>
      <c r="C66" s="4">
        <f>B66*2000</f>
        <v>106720.0</v>
      </c>
    </row>
    <row r="67" spans="1:3">
      <c r="A67" s="3" t="s">
        <v>21</v>
      </c>
      <c r="B67" s="6">
        <f>E15*8</f>
        <v>41.36</v>
      </c>
      <c r="C67" s="4">
        <f>B67*2000</f>
        <v>82720.0</v>
      </c>
    </row>
    <row r="68" spans="1:3">
      <c r="A68" s="3" t="s">
        <v>22</v>
      </c>
      <c r="B68" s="6">
        <f>E16*8</f>
        <v>69.36</v>
      </c>
      <c r="C68" s="4">
        <f>B68*2000</f>
        <v>138720.0</v>
      </c>
    </row>
    <row r="70" spans="1:3">
      <c r="A70" s="2" t="s">
        <v>57</v>
      </c>
    </row>
    <row r="71" spans="1:3">
      <c r="A71" t="s">
        <v>58</v>
      </c>
    </row>
    <row r="72" spans="1:3">
      <c r="A72" t="s">
        <v>59</v>
      </c>
    </row>
    <row r="73" spans="1:3">
      <c r="A73" t="s">
        <v>60</v>
      </c>
    </row>
    <row r="74" spans="1:3">
      <c r="A74" t="s">
        <v>61</v>
      </c>
    </row>
    <row r="75" spans="1:3">
      <c r="A75" t="s">
        <v>62</v>
      </c>
    </row>
    <row r="76" spans="1:3">
      <c r="A76" t="s">
        <v>63</v>
      </c>
    </row>
    <row r="77" spans="1:3">
      <c r="A77" t="s">
        <v>64</v>
      </c>
    </row>
    <row r="78" spans="1:3">
      <c r="A78" t="s">
        <v>65</v>
      </c>
    </row>
    <row r="79" spans="1:3">
      <c r="A79" t="s">
        <v>66</v>
      </c>
    </row>
  </sheetData>
  <mergeCells count="2">
    <mergeCell ref="A1:H1"/>
    <mergeCell ref="A2:H2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30.7109375" customWidth="1"/>
    <col min="2" max="2" width="60.7109375" customWidth="1"/>
  </cols>
  <sheetData>
    <row r="1" spans="1:2">
      <c r="A1" s="1" t="s">
        <v>67</v>
      </c>
    </row>
    <row r="3" spans="1:2">
      <c r="A3" s="7" t="s">
        <v>68</v>
      </c>
      <c r="B3" s="3" t="s">
        <v>69</v>
      </c>
    </row>
    <row r="4" spans="1:2">
      <c r="A4" s="7" t="s">
        <v>70</v>
      </c>
      <c r="B4" s="3" t="s">
        <v>71</v>
      </c>
    </row>
    <row r="5" spans="1:2">
      <c r="A5" s="7" t="s">
        <v>72</v>
      </c>
      <c r="B5" s="3" t="s">
        <v>73</v>
      </c>
    </row>
    <row r="6" spans="1:2">
      <c r="A6" s="7" t="s">
        <v>74</v>
      </c>
      <c r="B6" s="3" t="s">
        <v>75</v>
      </c>
    </row>
    <row r="8" spans="1:2">
      <c r="A8" s="14" t="s">
        <v>76</v>
      </c>
      <c r="B8" t="s">
        <v>77</v>
      </c>
    </row>
    <row r="10" spans="1:2">
      <c r="A10" s="14" t="s">
        <v>78</v>
      </c>
      <c r="B1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Estimation &amp; Cost</vt:lpstr>
      <vt:lpstr>PERT Reference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2026-10-06T05:15:56Z</dcterms:created>
  <dcterms:modified xsi:type="dcterms:W3CDTF">2026-10-06T05:15:56Z</dcterms:modified>
</cp:coreProperties>
</file>